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74872dce63a99ce/Documents/Pictures/Desktop/Excel/"/>
    </mc:Choice>
  </mc:AlternateContent>
  <xr:revisionPtr revIDLastSave="1" documentId="8_{ECA58588-24B3-4567-B166-0E85521ADC82}" xr6:coauthVersionLast="47" xr6:coauthVersionMax="47" xr10:uidLastSave="{55D8071B-30E1-4F72-BA2C-7AF67DD7C48F}"/>
  <bookViews>
    <workbookView minimized="1" xWindow="1815" yWindow="1815" windowWidth="15375" windowHeight="7785" activeTab="1" xr2:uid="{7CC763B8-FB6D-4684-B81E-A5D517DA1199}"/>
  </bookViews>
  <sheets>
    <sheet name="Employee Data" sheetId="1" r:id="rId1"/>
    <sheet name="Dashboard" sheetId="2" r:id="rId2"/>
  </sheets>
  <externalReferences>
    <externalReference r:id="rId3"/>
  </externalReferenc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<sst xmlns="http://schemas.openxmlformats.org/spreadsheetml/2006/main" count="254" uniqueCount="118">
  <si>
    <t>EmpID</t>
  </si>
  <si>
    <t>Name</t>
  </si>
  <si>
    <t>Dept</t>
  </si>
  <si>
    <t>Level</t>
  </si>
  <si>
    <t>City</t>
  </si>
  <si>
    <t>Salary (₹)</t>
  </si>
  <si>
    <t>Join Date</t>
  </si>
  <si>
    <t>Gender</t>
  </si>
  <si>
    <t>Status</t>
  </si>
  <si>
    <t>Attendance %</t>
  </si>
  <si>
    <t>CSAT</t>
  </si>
  <si>
    <t>EMP001</t>
  </si>
  <si>
    <t>Arjun Mehta</t>
  </si>
  <si>
    <t>Engineering</t>
  </si>
  <si>
    <t>Senior</t>
  </si>
  <si>
    <t>Mumbai</t>
  </si>
  <si>
    <t>2019-03-15</t>
  </si>
  <si>
    <t>M</t>
  </si>
  <si>
    <t>Active</t>
  </si>
  <si>
    <t>EMP002</t>
  </si>
  <si>
    <t>Priya Nair</t>
  </si>
  <si>
    <t>HR</t>
  </si>
  <si>
    <t>Junior</t>
  </si>
  <si>
    <t>Chennai</t>
  </si>
  <si>
    <t>2022-07-01</t>
  </si>
  <si>
    <t>F</t>
  </si>
  <si>
    <t>EMP003</t>
  </si>
  <si>
    <t>Vikram Gupta</t>
  </si>
  <si>
    <t>Sales</t>
  </si>
  <si>
    <t>Mid</t>
  </si>
  <si>
    <t>Delhi</t>
  </si>
  <si>
    <t>2020-11-20</t>
  </si>
  <si>
    <t>EMP004</t>
  </si>
  <si>
    <t>Sneha Sharma</t>
  </si>
  <si>
    <t>Bangalore</t>
  </si>
  <si>
    <t>2018-06-10</t>
  </si>
  <si>
    <t>EMP005</t>
  </si>
  <si>
    <t>Rahul Verma</t>
  </si>
  <si>
    <t>Operations</t>
  </si>
  <si>
    <t>2021-02-28</t>
  </si>
  <si>
    <t>EMP006</t>
  </si>
  <si>
    <t>Deepa Reddy</t>
  </si>
  <si>
    <t>Finance</t>
  </si>
  <si>
    <t>Hyderabad</t>
  </si>
  <si>
    <t>2019-09-05</t>
  </si>
  <si>
    <t>EMP007</t>
  </si>
  <si>
    <t>Kiran Joshi</t>
  </si>
  <si>
    <t>Pune</t>
  </si>
  <si>
    <t>2023-01-15</t>
  </si>
  <si>
    <t>EMP008</t>
  </si>
  <si>
    <t>Anita Singh</t>
  </si>
  <si>
    <t>Lead</t>
  </si>
  <si>
    <t>2017-04-20</t>
  </si>
  <si>
    <t>EMP009</t>
  </si>
  <si>
    <t>Suresh Pillai</t>
  </si>
  <si>
    <t>2021-08-10</t>
  </si>
  <si>
    <t>EMP010</t>
  </si>
  <si>
    <t>Meena Iyer</t>
  </si>
  <si>
    <t>2022-12-01</t>
  </si>
  <si>
    <t>EMP011</t>
  </si>
  <si>
    <t>Ajay Kumar</t>
  </si>
  <si>
    <t>2020-05-15</t>
  </si>
  <si>
    <t>EMP012</t>
  </si>
  <si>
    <t>Pooja Bhatt</t>
  </si>
  <si>
    <t>2019-11-30</t>
  </si>
  <si>
    <t>EMP013</t>
  </si>
  <si>
    <t>Tarun Nair</t>
  </si>
  <si>
    <t>2018-08-22</t>
  </si>
  <si>
    <t>EMP014</t>
  </si>
  <si>
    <t>Divya Bose</t>
  </si>
  <si>
    <t>EMP015</t>
  </si>
  <si>
    <t>Ganesh Patel</t>
  </si>
  <si>
    <t>2020-07-01</t>
  </si>
  <si>
    <t>EMP016</t>
  </si>
  <si>
    <t>Sunita Shah</t>
  </si>
  <si>
    <t>2019-02-14</t>
  </si>
  <si>
    <t>EMP017</t>
  </si>
  <si>
    <t>Ravi Kapoor</t>
  </si>
  <si>
    <t>2023-06-01</t>
  </si>
  <si>
    <t>EMP018</t>
  </si>
  <si>
    <t>Kavya Sharma</t>
  </si>
  <si>
    <t>2021-04-25</t>
  </si>
  <si>
    <t>EMP019</t>
  </si>
  <si>
    <t>Manish Tiwari</t>
  </si>
  <si>
    <t>2018-12-10</t>
  </si>
  <si>
    <t>EMP020</t>
  </si>
  <si>
    <t>Asha Joshi</t>
  </si>
  <si>
    <t>2022-09-20</t>
  </si>
  <si>
    <t>EMP021</t>
  </si>
  <si>
    <t>Sanjay Gupta</t>
  </si>
  <si>
    <t>2021-01-15</t>
  </si>
  <si>
    <t>EMP022</t>
  </si>
  <si>
    <t>Rekha Singh</t>
  </si>
  <si>
    <t>2020-03-05</t>
  </si>
  <si>
    <t>EMP023</t>
  </si>
  <si>
    <t>Arjun Pillai</t>
  </si>
  <si>
    <t>2023-08-01</t>
  </si>
  <si>
    <t>EMP024</t>
  </si>
  <si>
    <t>Lakshmi Rao</t>
  </si>
  <si>
    <t>2023-03-10</t>
  </si>
  <si>
    <t>2018-07-18</t>
  </si>
  <si>
    <t>EMP025</t>
  </si>
  <si>
    <t>Vijay Sharma</t>
  </si>
  <si>
    <t>2016-10-01</t>
  </si>
  <si>
    <t>HR ANALYTICS DASHBOARD – Build your pivot tables, KPI cards and charts here</t>
  </si>
  <si>
    <t>← KPI CARDS (Row 3-8)</t>
  </si>
  <si>
    <t>← PIVOT TABLE 1: Dept vs Level (Row 10+)</t>
  </si>
  <si>
    <t>← PIVOT TABLE 2: City vs Salary (Row 10+)</t>
  </si>
  <si>
    <t xml:space="preserve">Headcount by </t>
  </si>
  <si>
    <t/>
  </si>
  <si>
    <t>Grand Total</t>
  </si>
  <si>
    <t>Row Labels</t>
  </si>
  <si>
    <t>Average of Salary (₹)</t>
  </si>
  <si>
    <t>Count of EmpID</t>
  </si>
  <si>
    <t>← SLICER PANEL (Right side)</t>
  </si>
  <si>
    <t xml:space="preserve">Avg of Salary </t>
  </si>
  <si>
    <t xml:space="preserve"> </t>
  </si>
  <si>
    <t>Count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</si>
</sst>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FFFF"/>
      <name val="Arial"/>
    </font>
    <font>
      <sz val="10"/>
      <color rgb="FF000000"/>
      <name val="Arial"/>
    </font>
    <font>
      <b/>
      <sz val="12"/>
      <color rgb="FFFFFFFF"/>
      <name val="Arial"/>
    </font>
    <font>
      <i/>
      <sz val="10"/>
      <color rgb="FF999999"/>
      <name val="Arial"/>
    </font>
    <font>
      <sz val="11"/>
      <color theme="1"/>
      <name val="Amasis MT Pro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1D6A3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5477647"/>
        <c:axId val="1469890895"/>
      </c:barChart>
      <c:catAx>
        <c:axId val="895477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890895"/>
        <c:crosses val="autoZero"/>
        <c:auto val="1"/>
        <c:lblAlgn val="ctr"/>
        <c:lblOffset val="100"/>
        <c:noMultiLvlLbl val="0"/>
      </c:catAx>
      <c:valAx>
        <c:axId val="146989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Board.xlsx]Dashboard!PivotTable6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Dashboard!$H$23:$H$28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Dashboard!$I$23:$I$28</c:f>
              <c:numCache>
                <c:formatCode>General</c:formatCode>
                <c:ptCount val="5"/>
                <c:pt idx="0">
                  <c:v>80000</c:v>
                </c:pt>
                <c:pt idx="1">
                  <c:v>64600</c:v>
                </c:pt>
                <c:pt idx="2">
                  <c:v>51250</c:v>
                </c:pt>
                <c:pt idx="3">
                  <c:v>55000</c:v>
                </c:pt>
                <c:pt idx="4">
                  <c:v>62600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E-47EA-B078-BC34A1907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723871"/>
        <c:axId val="1469987855"/>
      </c:barChart>
      <c:catAx>
        <c:axId val="147672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987855"/>
        <c:crosses val="autoZero"/>
        <c:auto val="1"/>
        <c:lblAlgn val="ctr"/>
        <c:lblOffset val="100"/>
        <c:noMultiLvlLbl val="0"/>
      </c:catAx>
      <c:valAx>
        <c:axId val="146998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72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Board.xlsx]Dashboard!PivotTable7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423572838732768"/>
          <c:y val="0.20012102653834937"/>
          <c:w val="0.39463425276216729"/>
          <c:h val="0.68578922426363376"/>
        </c:manualLayout>
      </c:layout>
      <c:doughnutChart>
        <c:varyColors val="1"/>
        <c:ser>
          <c:idx val="0"/>
          <c:order val="0"/>
          <c:tx>
            <c:strRef>
              <c:f>Dashboard!$I$31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D9-41C5-9BE7-50392A404F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D9-41C5-9BE7-50392A404F54}"/>
              </c:ext>
            </c:extLst>
          </c:dPt>
          <c:cat>
            <c:strRef>
              <c:f>Dashboard!$H$32:$H$34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Dashboard!$I$32:$I$34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D9-41C5-9BE7-50392A404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877279588684237"/>
          <c:y val="0.26174105604229259"/>
          <c:w val="0.4910235951527524"/>
          <c:h val="0.70612364516538417"/>
        </c:manualLayout>
      </c:layout>
      <c:doughnutChart>
        <c:varyColors val="1"/>
        <c:ser>
          <c:idx val="0"/>
          <c:order val="0"/>
          <c:tx>
            <c:strRef>
              <c:f>'[1]Employee Data'!$H$2:$H$25</c:f>
              <c:strCache>
                <c:ptCount val="1"/>
                <c:pt idx="0">
                  <c:v>M F M F M F M F M F M F M F M F M F M F M F M F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305-4F8A-A8D5-733DB73074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"/>
              <c:pt idx="0">
                <c:v>Male</c:v>
              </c:pt>
            </c:strLit>
          </c:cat>
          <c:val>
            <c:numRef>
              <c:f>'[1]Employee Data'!$H$26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5-4F8A-A8D5-733DB7307499}"/>
            </c:ext>
          </c:extLst>
        </c:ser>
        <c:ser>
          <c:idx val="1"/>
          <c:order val="1"/>
          <c:tx>
            <c:strRef>
              <c:f>Dashboard!$Q$26</c:f>
              <c:strCache>
                <c:ptCount val="1"/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F305-4F8A-A8D5-733DB73074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"/>
              <c:pt idx="0">
                <c:v>Male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5-F305-4F8A-A8D5-733DB73074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Board.xlsx]Dashboard!PivotTable7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Dashboard!$I$31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90-4C5D-A38B-29123D9038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90-4C5D-A38B-29123D90383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Dashboard!$H$32:$H$34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Dashboard!$I$32:$I$34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90-4C5D-A38B-29123D9038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875612</xdr:colOff>
      <xdr:row>2</xdr:row>
      <xdr:rowOff>37640</xdr:rowOff>
    </xdr:from>
    <xdr:to>
      <xdr:col>2</xdr:col>
      <xdr:colOff>642653</xdr:colOff>
      <xdr:row>8</xdr:row>
      <xdr:rowOff>172138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EF97D1-3DAA-4C7C-A956-CE3C81707EF2}"/>
            </a:ext>
          </a:extLst>
        </xdr:cNvPr>
        <xdr:cNvSpPr/>
      </xdr:nvSpPr>
      <xdr:spPr>
        <a:xfrm>
          <a:off x="875612" y="666290"/>
          <a:ext cx="1976841" cy="1277498"/>
        </a:xfrm>
        <a:prstGeom prst="rect">
          <a:avLst/>
        </a:prstGeom>
        <a:solidFill>
          <a:schemeClr val="tx2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177073</xdr:colOff>
      <xdr:row>2</xdr:row>
      <xdr:rowOff>54739</xdr:rowOff>
    </xdr:from>
    <xdr:ext cx="1790700" cy="2762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073B00-C4B6-4A05-90BF-5230D3FEE3DD}"/>
            </a:ext>
          </a:extLst>
        </xdr:cNvPr>
        <xdr:cNvSpPr txBox="1"/>
      </xdr:nvSpPr>
      <xdr:spPr>
        <a:xfrm>
          <a:off x="1081948" y="683389"/>
          <a:ext cx="179070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>
              <a:latin typeface="Amasis MT Pro" panose="02040504050005020304" pitchFamily="18" charset="0"/>
            </a:rPr>
            <a:t>Total Headcount</a:t>
          </a:r>
        </a:p>
        <a:p>
          <a:endParaRPr lang="en-IN" sz="1100"/>
        </a:p>
      </xdr:txBody>
    </xdr:sp>
    <xdr:clientData/>
  </xdr:oneCellAnchor>
  <xdr:oneCellAnchor>
    <xdr:from>
      <xdr:col>10</xdr:col>
      <xdr:colOff>571499</xdr:colOff>
      <xdr:row>0</xdr:row>
      <xdr:rowOff>35919</xdr:rowOff>
    </xdr:from>
    <xdr:ext cx="885825" cy="64770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A27FD9-A0D8-461E-91FF-A7DFE7F9A679}"/>
            </a:ext>
          </a:extLst>
        </xdr:cNvPr>
        <xdr:cNvSpPr txBox="1"/>
      </xdr:nvSpPr>
      <xdr:spPr>
        <a:xfrm>
          <a:off x="9829799" y="35919"/>
          <a:ext cx="885825" cy="647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800">
              <a:latin typeface="Amasis MT Pro" panose="02040504050005020304" pitchFamily="18" charset="0"/>
            </a:rPr>
            <a:t> </a:t>
          </a:r>
        </a:p>
      </xdr:txBody>
    </xdr:sp>
    <xdr:clientData/>
  </xdr:oneCellAnchor>
  <xdr:twoCellAnchor>
    <xdr:from>
      <xdr:col>2</xdr:col>
      <xdr:colOff>713000</xdr:colOff>
      <xdr:row>2</xdr:row>
      <xdr:rowOff>45903</xdr:rowOff>
    </xdr:from>
    <xdr:to>
      <xdr:col>6</xdr:col>
      <xdr:colOff>91808</xdr:colOff>
      <xdr:row>8</xdr:row>
      <xdr:rowOff>181206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094739E-BD0B-4FA8-B879-3E6E64BD3D44}"/>
            </a:ext>
          </a:extLst>
        </xdr:cNvPr>
        <xdr:cNvSpPr/>
      </xdr:nvSpPr>
      <xdr:spPr>
        <a:xfrm>
          <a:off x="2922800" y="674553"/>
          <a:ext cx="1998183" cy="1278303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255224</xdr:colOff>
      <xdr:row>2</xdr:row>
      <xdr:rowOff>100643</xdr:rowOff>
    </xdr:from>
    <xdr:ext cx="1571625" cy="33855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1B4755-FC3E-431B-BB7E-C6FD7AC0A5DE}"/>
            </a:ext>
          </a:extLst>
        </xdr:cNvPr>
        <xdr:cNvSpPr txBox="1"/>
      </xdr:nvSpPr>
      <xdr:spPr>
        <a:xfrm>
          <a:off x="3255599" y="729293"/>
          <a:ext cx="1571625" cy="3385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600">
              <a:latin typeface="Amasis MT Pro" panose="02040504050005020304" pitchFamily="18" charset="0"/>
            </a:rPr>
            <a:t>Average Salary</a:t>
          </a:r>
        </a:p>
      </xdr:txBody>
    </xdr:sp>
    <xdr:clientData/>
  </xdr:oneCellAnchor>
  <xdr:oneCellAnchor>
    <xdr:from>
      <xdr:col>12</xdr:col>
      <xdr:colOff>438150</xdr:colOff>
      <xdr:row>17</xdr:row>
      <xdr:rowOff>142875</xdr:rowOff>
    </xdr:from>
    <xdr:ext cx="2228850" cy="2952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DC44445-D6FD-45D1-9F48-76CD8E7169DD}"/>
            </a:ext>
          </a:extLst>
        </xdr:cNvPr>
        <xdr:cNvSpPr txBox="1"/>
      </xdr:nvSpPr>
      <xdr:spPr>
        <a:xfrm>
          <a:off x="11725275" y="3629025"/>
          <a:ext cx="2228850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1600">
            <a:latin typeface="Amasis MT Pro" panose="02040504050005020304" pitchFamily="18" charset="0"/>
          </a:endParaRPr>
        </a:p>
      </xdr:txBody>
    </xdr:sp>
    <xdr:clientData/>
  </xdr:oneCellAnchor>
  <xdr:oneCellAnchor>
    <xdr:from>
      <xdr:col>3</xdr:col>
      <xdr:colOff>34198</xdr:colOff>
      <xdr:row>4</xdr:row>
      <xdr:rowOff>114072</xdr:rowOff>
    </xdr:from>
    <xdr:ext cx="2019299" cy="76944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2D4B261-B998-47D3-B175-E352F7620FCF}"/>
            </a:ext>
          </a:extLst>
        </xdr:cNvPr>
        <xdr:cNvSpPr txBox="1"/>
      </xdr:nvSpPr>
      <xdr:spPr>
        <a:xfrm>
          <a:off x="3034573" y="1123722"/>
          <a:ext cx="2019299" cy="7694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4400" u="sng">
              <a:latin typeface="Amasis MT Pro" panose="02040504050005020304" pitchFamily="18" charset="0"/>
            </a:rPr>
            <a:t>₹</a:t>
          </a:r>
          <a:r>
            <a:rPr lang="en-IN" sz="4400">
              <a:latin typeface="Amasis MT Pro" panose="02040504050005020304" pitchFamily="18" charset="0"/>
            </a:rPr>
            <a:t>64840</a:t>
          </a:r>
        </a:p>
      </xdr:txBody>
    </xdr:sp>
    <xdr:clientData/>
  </xdr:oneCellAnchor>
  <xdr:twoCellAnchor>
    <xdr:from>
      <xdr:col>6</xdr:col>
      <xdr:colOff>161926</xdr:colOff>
      <xdr:row>2</xdr:row>
      <xdr:rowOff>47167</xdr:rowOff>
    </xdr:from>
    <xdr:to>
      <xdr:col>7</xdr:col>
      <xdr:colOff>1136115</xdr:colOff>
      <xdr:row>8</xdr:row>
      <xdr:rowOff>183614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2EFD58D-7995-475C-89F8-3EAE5334DB50}"/>
            </a:ext>
          </a:extLst>
        </xdr:cNvPr>
        <xdr:cNvSpPr/>
      </xdr:nvSpPr>
      <xdr:spPr>
        <a:xfrm>
          <a:off x="4991101" y="675817"/>
          <a:ext cx="1993364" cy="1279447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>
              <a:solidFill>
                <a:schemeClr val="tx1"/>
              </a:solidFill>
              <a:effectLst/>
              <a:latin typeface="Amasis MT Pro" panose="02040504050005020304" pitchFamily="18" charset="0"/>
              <a:ea typeface="+mn-ea"/>
              <a:cs typeface="+mn-cs"/>
            </a:rPr>
            <a:t>Avg Attendance %</a:t>
          </a:r>
          <a:endParaRPr lang="en-IN" sz="1600">
            <a:solidFill>
              <a:schemeClr val="tx1"/>
            </a:solidFill>
            <a:effectLst/>
            <a:latin typeface="Amasis MT Pro" panose="02040504050005020304" pitchFamily="18" charset="0"/>
          </a:endParaRPr>
        </a:p>
        <a:p>
          <a:pPr algn="l"/>
          <a:endParaRPr lang="en-IN" sz="1100"/>
        </a:p>
      </xdr:txBody>
    </xdr:sp>
    <xdr:clientData/>
  </xdr:twoCellAnchor>
  <xdr:oneCellAnchor>
    <xdr:from>
      <xdr:col>9</xdr:col>
      <xdr:colOff>28575</xdr:colOff>
      <xdr:row>5</xdr:row>
      <xdr:rowOff>161925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5C6CA5A-73D6-41A1-BF0C-BA258F6D1A42}"/>
            </a:ext>
          </a:extLst>
        </xdr:cNvPr>
        <xdr:cNvSpPr txBox="1"/>
      </xdr:nvSpPr>
      <xdr:spPr>
        <a:xfrm>
          <a:off x="7981950" y="136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255455</xdr:colOff>
      <xdr:row>4</xdr:row>
      <xdr:rowOff>42002</xdr:rowOff>
    </xdr:from>
    <xdr:ext cx="1952624" cy="83099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528AECF-6E87-4962-AA88-B5158CF5690F}"/>
            </a:ext>
          </a:extLst>
        </xdr:cNvPr>
        <xdr:cNvSpPr txBox="1"/>
      </xdr:nvSpPr>
      <xdr:spPr>
        <a:xfrm>
          <a:off x="5084630" y="1051652"/>
          <a:ext cx="1952624" cy="8309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4800">
              <a:latin typeface="Amasis MT Pro" panose="02040504050005020304" pitchFamily="18" charset="0"/>
            </a:rPr>
            <a:t>85.6%</a:t>
          </a:r>
        </a:p>
      </xdr:txBody>
    </xdr:sp>
    <xdr:clientData/>
  </xdr:oneCellAnchor>
  <xdr:twoCellAnchor>
    <xdr:from>
      <xdr:col>7</xdr:col>
      <xdr:colOff>1222873</xdr:colOff>
      <xdr:row>2</xdr:row>
      <xdr:rowOff>54738</xdr:rowOff>
    </xdr:from>
    <xdr:to>
      <xdr:col>9</xdr:col>
      <xdr:colOff>1124638</xdr:colOff>
      <xdr:row>8</xdr:row>
      <xdr:rowOff>183613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6079898-5296-47DF-8528-97D5B6B2EB56}"/>
            </a:ext>
          </a:extLst>
        </xdr:cNvPr>
        <xdr:cNvSpPr/>
      </xdr:nvSpPr>
      <xdr:spPr>
        <a:xfrm>
          <a:off x="7071223" y="683388"/>
          <a:ext cx="2006790" cy="1271875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tx1"/>
              </a:solidFill>
              <a:latin typeface="Amasis MT Pro" panose="02040504050005020304" pitchFamily="18" charset="0"/>
            </a:rPr>
            <a:t>Average</a:t>
          </a:r>
          <a:r>
            <a:rPr lang="en-IN" sz="1600" baseline="0">
              <a:solidFill>
                <a:schemeClr val="tx1"/>
              </a:solidFill>
              <a:latin typeface="Amasis MT Pro" panose="02040504050005020304" pitchFamily="18" charset="0"/>
            </a:rPr>
            <a:t> CAST</a:t>
          </a:r>
          <a:endParaRPr lang="en-IN" sz="1600">
            <a:solidFill>
              <a:schemeClr val="tx1"/>
            </a:solidFill>
            <a:latin typeface="Amasis MT Pro" panose="02040504050005020304" pitchFamily="18" charset="0"/>
          </a:endParaRPr>
        </a:p>
      </xdr:txBody>
    </xdr:sp>
    <xdr:clientData/>
  </xdr:twoCellAnchor>
  <xdr:oneCellAnchor>
    <xdr:from>
      <xdr:col>8</xdr:col>
      <xdr:colOff>275077</xdr:colOff>
      <xdr:row>4</xdr:row>
      <xdr:rowOff>9066</xdr:rowOff>
    </xdr:from>
    <xdr:ext cx="1333500" cy="83099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B6D1D11-DA47-4199-8583-2E0CB5E27A09}"/>
            </a:ext>
          </a:extLst>
        </xdr:cNvPr>
        <xdr:cNvSpPr txBox="1"/>
      </xdr:nvSpPr>
      <xdr:spPr>
        <a:xfrm>
          <a:off x="7352152" y="1018716"/>
          <a:ext cx="1333500" cy="8309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4800">
              <a:latin typeface="Amasis MT Pro" panose="02040504050005020304" pitchFamily="18" charset="0"/>
            </a:rPr>
            <a:t>4.30</a:t>
          </a:r>
        </a:p>
      </xdr:txBody>
    </xdr:sp>
    <xdr:clientData/>
  </xdr:oneCellAnchor>
  <xdr:twoCellAnchor>
    <xdr:from>
      <xdr:col>23</xdr:col>
      <xdr:colOff>594450</xdr:colOff>
      <xdr:row>66</xdr:row>
      <xdr:rowOff>155900</xdr:rowOff>
    </xdr:from>
    <xdr:to>
      <xdr:col>31</xdr:col>
      <xdr:colOff>27380</xdr:colOff>
      <xdr:row>81</xdr:row>
      <xdr:rowOff>85563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1D5F286-DAD6-4CC3-8972-CD3C03EDF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890906</xdr:colOff>
      <xdr:row>20</xdr:row>
      <xdr:rowOff>97934</xdr:rowOff>
    </xdr:from>
    <xdr:to>
      <xdr:col>6</xdr:col>
      <xdr:colOff>362725</xdr:colOff>
      <xdr:row>35</xdr:row>
      <xdr:rowOff>47067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B41E41B-A36E-4344-9766-D36400BFB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424609</xdr:colOff>
      <xdr:row>4</xdr:row>
      <xdr:rowOff>22952</xdr:rowOff>
    </xdr:from>
    <xdr:ext cx="986927" cy="8437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8CD83A1-7E0B-4773-ACA5-AA0D9B2C3FF8}"/>
            </a:ext>
          </a:extLst>
        </xdr:cNvPr>
        <xdr:cNvSpPr txBox="1"/>
      </xdr:nvSpPr>
      <xdr:spPr>
        <a:xfrm>
          <a:off x="1329484" y="1032602"/>
          <a:ext cx="986927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4800">
              <a:latin typeface="Amasis MT Pro" panose="02040504050005020304" pitchFamily="18" charset="0"/>
            </a:rPr>
            <a:t>25</a:t>
          </a:r>
        </a:p>
      </xdr:txBody>
    </xdr:sp>
    <xdr:clientData/>
  </xdr:oneCellAnchor>
  <xdr:twoCellAnchor>
    <xdr:from>
      <xdr:col>11</xdr:col>
      <xdr:colOff>46666</xdr:colOff>
      <xdr:row>91</xdr:row>
      <xdr:rowOff>123955</xdr:rowOff>
    </xdr:from>
    <xdr:to>
      <xdr:col>17</xdr:col>
      <xdr:colOff>87139</xdr:colOff>
      <xdr:row>105</xdr:row>
      <xdr:rowOff>135889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6C8B76C-11DC-4E58-86F6-E7DD76E4E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226003</xdr:colOff>
      <xdr:row>88</xdr:row>
      <xdr:rowOff>116031</xdr:rowOff>
    </xdr:from>
    <xdr:to>
      <xdr:col>28</xdr:col>
      <xdr:colOff>223837</xdr:colOff>
      <xdr:row>106</xdr:row>
      <xdr:rowOff>158462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1B6D5B1-C09D-4890-A329-9B34E1A7F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12413</xdr:colOff>
      <xdr:row>64</xdr:row>
      <xdr:rowOff>52166</xdr:rowOff>
    </xdr:from>
    <xdr:to>
      <xdr:col>15</xdr:col>
      <xdr:colOff>321830</xdr:colOff>
      <xdr:row>78</xdr:row>
      <xdr:rowOff>92326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4429DE3-9E12-4527-8EB9-359F943CB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192911</xdr:colOff>
      <xdr:row>20</xdr:row>
      <xdr:rowOff>89659</xdr:rowOff>
    </xdr:from>
    <xdr:to>
      <xdr:col>12</xdr:col>
      <xdr:colOff>704675</xdr:colOff>
      <xdr:row>35</xdr:row>
      <xdr:rowOff>24114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4891353-255D-4970-84E9-7C5CBC77B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74872dce63a99ce/Documents/Pictures/Desktop/Excel/P2_HR_Dashboard_PROJECT%20completed.xlsx" TargetMode="External"/><Relationship Id="rId1" Type="http://schemas.openxmlformats.org/officeDocument/2006/relationships/externalLinkPath" Target="P2_HR_Dashboard_PROJECT%20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Employee Data"/>
      <sheetName val="Analysis Tasks"/>
      <sheetName val="Dashboard"/>
      <sheetName val="Interview Prep"/>
    </sheetNames>
    <sheetDataSet>
      <sheetData sheetId="0" refreshError="1"/>
      <sheetData sheetId="1">
        <row r="2">
          <cell r="H2" t="str">
            <v>M</v>
          </cell>
        </row>
        <row r="3">
          <cell r="H3" t="str">
            <v>F</v>
          </cell>
        </row>
        <row r="4">
          <cell r="H4" t="str">
            <v>M</v>
          </cell>
        </row>
        <row r="5">
          <cell r="H5" t="str">
            <v>F</v>
          </cell>
        </row>
        <row r="6">
          <cell r="H6" t="str">
            <v>M</v>
          </cell>
        </row>
        <row r="7">
          <cell r="H7" t="str">
            <v>F</v>
          </cell>
        </row>
        <row r="8">
          <cell r="H8" t="str">
            <v>M</v>
          </cell>
        </row>
        <row r="9">
          <cell r="H9" t="str">
            <v>F</v>
          </cell>
        </row>
        <row r="10">
          <cell r="H10" t="str">
            <v>M</v>
          </cell>
        </row>
        <row r="11">
          <cell r="H11" t="str">
            <v>F</v>
          </cell>
        </row>
        <row r="12">
          <cell r="H12" t="str">
            <v>M</v>
          </cell>
        </row>
        <row r="13">
          <cell r="H13" t="str">
            <v>F</v>
          </cell>
        </row>
        <row r="14">
          <cell r="H14" t="str">
            <v>M</v>
          </cell>
        </row>
        <row r="15">
          <cell r="H15" t="str">
            <v>F</v>
          </cell>
        </row>
        <row r="16">
          <cell r="H16" t="str">
            <v>M</v>
          </cell>
        </row>
        <row r="17">
          <cell r="H17" t="str">
            <v>F</v>
          </cell>
        </row>
        <row r="18">
          <cell r="H18" t="str">
            <v>M</v>
          </cell>
        </row>
        <row r="19">
          <cell r="H19" t="str">
            <v>F</v>
          </cell>
        </row>
        <row r="20">
          <cell r="H20" t="str">
            <v>M</v>
          </cell>
        </row>
        <row r="21">
          <cell r="H21" t="str">
            <v>F</v>
          </cell>
        </row>
        <row r="22">
          <cell r="H22" t="str">
            <v>M</v>
          </cell>
        </row>
        <row r="23">
          <cell r="H23" t="str">
            <v>F</v>
          </cell>
        </row>
        <row r="24">
          <cell r="H24" t="str">
            <v>M</v>
          </cell>
        </row>
        <row r="25">
          <cell r="H25" t="str">
            <v>F</v>
          </cell>
        </row>
        <row r="26">
          <cell r="H26" t="str">
            <v>M</v>
          </cell>
        </row>
      </sheetData>
      <sheetData sheetId="2" refreshError="1"/>
      <sheetData sheetId="3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2_HR_Dashboard_PROJECT%20complet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81.682006365743" createdVersion="8" refreshedVersion="8" minRefreshableVersion="3" recordCount="26" xr:uid="{B354F035-795E-4F9D-BC0A-C790C98D7C24}">
  <cacheSource type="worksheet">
    <worksheetSource ref="A1:K1048576" sheet="Employee Data" r:id="rId2"/>
  </cacheSource>
  <cacheFields count="11">
    <cacheField name="EmpID" numFmtId="0">
      <sharedItems containsBlank="1"/>
    </cacheField>
    <cacheField name="Name" numFmtId="0">
      <sharedItems containsBlank="1" count="26">
        <s v="Arjun Mehta"/>
        <s v="Priya Nair"/>
        <s v="Vikram Gupta"/>
        <s v="Sneha Sharma"/>
        <s v="Rahul Verma"/>
        <s v="Deepa Reddy"/>
        <s v="Kiran Joshi"/>
        <s v="Anita Singh"/>
        <s v="Suresh Pillai"/>
        <s v="Meena Iyer"/>
        <s v="Ajay Kumar"/>
        <s v="Pooja Bhatt"/>
        <s v="Tarun Nair"/>
        <s v="Divya Bose"/>
        <s v="Ganesh Patel"/>
        <s v="Sunita Shah"/>
        <s v="Ravi Kapoor"/>
        <s v="Kavya Sharma"/>
        <s v="Manish Tiwari"/>
        <s v="Asha Joshi"/>
        <s v="Sanjay Gupta"/>
        <s v="Rekha Singh"/>
        <s v="Arjun Pillai"/>
        <s v="Lakshmi Rao"/>
        <s v="Vijay Sharma"/>
        <m/>
      </sharedItems>
    </cacheField>
    <cacheField name="Dept" numFmtId="0">
      <sharedItems containsBlank="1" count="6">
        <s v="Engineering"/>
        <s v="HR"/>
        <s v="Sales"/>
        <s v="Operations"/>
        <s v="Finance"/>
        <m/>
      </sharedItems>
    </cacheField>
    <cacheField name="Level" numFmtId="0">
      <sharedItems containsBlank="1" count="5">
        <s v="Senior"/>
        <s v="Junior"/>
        <s v="Mid"/>
        <s v="Lead"/>
        <m/>
      </sharedItems>
    </cacheField>
    <cacheField name="City" numFmtId="0">
      <sharedItems containsBlank="1" count="7">
        <s v="Mumbai"/>
        <s v="Chennai"/>
        <s v="Delhi"/>
        <s v="Bangalore"/>
        <s v="Hyderabad"/>
        <s v="Pune"/>
        <m/>
      </sharedItems>
    </cacheField>
    <cacheField name="Salary (₹)" numFmtId="0">
      <sharedItems containsString="0" containsBlank="1" containsNumber="1" containsInteger="1" minValue="38000" maxValue="105000"/>
    </cacheField>
    <cacheField name="Join Date" numFmtId="0">
      <sharedItems containsBlank="1"/>
    </cacheField>
    <cacheField name="Gender" numFmtId="0">
      <sharedItems containsBlank="1" count="3">
        <s v="M"/>
        <s v="F"/>
        <m/>
      </sharedItems>
    </cacheField>
    <cacheField name="Status" numFmtId="0">
      <sharedItems containsBlank="1"/>
    </cacheField>
    <cacheField name="Attendance %" numFmtId="0">
      <sharedItems containsString="0" containsBlank="1" containsNumber="1" containsInteger="1" minValue="69" maxValue="97"/>
    </cacheField>
    <cacheField name="CSAT" numFmtId="0">
      <sharedItems containsString="0" containsBlank="1" containsNumber="1" minValue="3.6" maxValue="4.9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EMP001"/>
    <x v="0"/>
    <x v="0"/>
    <x v="0"/>
    <x v="0"/>
    <n v="85000"/>
    <s v="2019-03-15"/>
    <x v="0"/>
    <s v="Active"/>
    <n v="88"/>
    <n v="4.2"/>
  </r>
  <r>
    <s v="EMP002"/>
    <x v="1"/>
    <x v="1"/>
    <x v="1"/>
    <x v="1"/>
    <n v="42000"/>
    <s v="2022-07-01"/>
    <x v="1"/>
    <s v="Active"/>
    <n v="92"/>
    <n v="4.5999999999999996"/>
  </r>
  <r>
    <s v="EMP003"/>
    <x v="2"/>
    <x v="2"/>
    <x v="2"/>
    <x v="2"/>
    <n v="62000"/>
    <s v="2020-11-20"/>
    <x v="0"/>
    <s v="Active"/>
    <n v="78"/>
    <n v="3.8"/>
  </r>
  <r>
    <s v="EMP004"/>
    <x v="3"/>
    <x v="0"/>
    <x v="0"/>
    <x v="3"/>
    <n v="92000"/>
    <s v="2018-06-10"/>
    <x v="1"/>
    <s v="Active"/>
    <n v="95"/>
    <n v="4.8"/>
  </r>
  <r>
    <s v="EMP005"/>
    <x v="4"/>
    <x v="3"/>
    <x v="2"/>
    <x v="0"/>
    <n v="55000"/>
    <s v="2021-02-28"/>
    <x v="0"/>
    <s v="Active"/>
    <n v="82"/>
    <n v="4.0999999999999996"/>
  </r>
  <r>
    <s v="EMP006"/>
    <x v="5"/>
    <x v="4"/>
    <x v="0"/>
    <x v="4"/>
    <n v="78000"/>
    <s v="2019-09-05"/>
    <x v="1"/>
    <s v="Active"/>
    <n v="90"/>
    <n v="4.5"/>
  </r>
  <r>
    <s v="EMP007"/>
    <x v="6"/>
    <x v="2"/>
    <x v="1"/>
    <x v="5"/>
    <n v="38000"/>
    <s v="2023-01-15"/>
    <x v="0"/>
    <s v="Active"/>
    <n v="71"/>
    <n v="3.9"/>
  </r>
  <r>
    <s v="EMP008"/>
    <x v="7"/>
    <x v="0"/>
    <x v="3"/>
    <x v="3"/>
    <n v="105000"/>
    <s v="2017-04-20"/>
    <x v="1"/>
    <s v="Active"/>
    <n v="97"/>
    <n v="4.9000000000000004"/>
  </r>
  <r>
    <s v="EMP009"/>
    <x v="8"/>
    <x v="1"/>
    <x v="2"/>
    <x v="1"/>
    <n v="52000"/>
    <s v="2021-08-10"/>
    <x v="0"/>
    <s v="Active"/>
    <n v="85"/>
    <n v="4.3"/>
  </r>
  <r>
    <s v="EMP010"/>
    <x v="9"/>
    <x v="4"/>
    <x v="1"/>
    <x v="0"/>
    <n v="44000"/>
    <s v="2022-12-01"/>
    <x v="1"/>
    <s v="Active"/>
    <n v="88"/>
    <n v="4.4000000000000004"/>
  </r>
  <r>
    <s v="EMP011"/>
    <x v="10"/>
    <x v="0"/>
    <x v="2"/>
    <x v="2"/>
    <n v="72000"/>
    <s v="2020-05-15"/>
    <x v="0"/>
    <s v="Active"/>
    <n v="80"/>
    <n v="4"/>
  </r>
  <r>
    <s v="EMP012"/>
    <x v="11"/>
    <x v="3"/>
    <x v="0"/>
    <x v="5"/>
    <n v="68000"/>
    <s v="2019-11-30"/>
    <x v="1"/>
    <s v="Active"/>
    <n v="93"/>
    <n v="4.7"/>
  </r>
  <r>
    <s v="EMP013"/>
    <x v="12"/>
    <x v="2"/>
    <x v="0"/>
    <x v="0"/>
    <n v="75000"/>
    <s v="2018-08-22"/>
    <x v="0"/>
    <s v="Active"/>
    <n v="76"/>
    <n v="3.7"/>
  </r>
  <r>
    <s v="EMP014"/>
    <x v="13"/>
    <x v="0"/>
    <x v="1"/>
    <x v="3"/>
    <n v="48000"/>
    <s v="2023-03-10"/>
    <x v="1"/>
    <s v="Active"/>
    <n v="91"/>
    <n v="4.5"/>
  </r>
  <r>
    <s v="EMP015"/>
    <x v="14"/>
    <x v="4"/>
    <x v="2"/>
    <x v="4"/>
    <n v="65000"/>
    <s v="2020-07-01"/>
    <x v="0"/>
    <s v="Active"/>
    <n v="87"/>
    <n v="4.2"/>
  </r>
  <r>
    <s v="EMP016"/>
    <x v="15"/>
    <x v="1"/>
    <x v="0"/>
    <x v="2"/>
    <n v="72000"/>
    <s v="2019-02-14"/>
    <x v="1"/>
    <s v="Active"/>
    <n v="94"/>
    <n v="4.8"/>
  </r>
  <r>
    <s v="EMP017"/>
    <x v="16"/>
    <x v="3"/>
    <x v="1"/>
    <x v="0"/>
    <n v="40000"/>
    <s v="2023-06-01"/>
    <x v="0"/>
    <s v="Active"/>
    <n v="69"/>
    <n v="3.6"/>
  </r>
  <r>
    <s v="EMP018"/>
    <x v="17"/>
    <x v="2"/>
    <x v="2"/>
    <x v="1"/>
    <n v="58000"/>
    <s v="2021-04-25"/>
    <x v="1"/>
    <s v="Active"/>
    <n v="83"/>
    <n v="4.0999999999999996"/>
  </r>
  <r>
    <s v="EMP019"/>
    <x v="18"/>
    <x v="0"/>
    <x v="0"/>
    <x v="3"/>
    <n v="88000"/>
    <s v="2018-12-10"/>
    <x v="0"/>
    <s v="Active"/>
    <n v="89"/>
    <n v="4.4000000000000004"/>
  </r>
  <r>
    <s v="EMP020"/>
    <x v="19"/>
    <x v="4"/>
    <x v="1"/>
    <x v="5"/>
    <n v="41000"/>
    <s v="2022-09-20"/>
    <x v="1"/>
    <s v="Active"/>
    <n v="86"/>
    <n v="4.3"/>
  </r>
  <r>
    <s v="EMP021"/>
    <x v="20"/>
    <x v="3"/>
    <x v="2"/>
    <x v="2"/>
    <n v="57000"/>
    <s v="2021-01-15"/>
    <x v="0"/>
    <s v="Active"/>
    <n v="79"/>
    <n v="3.9"/>
  </r>
  <r>
    <s v="EMP022"/>
    <x v="21"/>
    <x v="0"/>
    <x v="2"/>
    <x v="0"/>
    <n v="70000"/>
    <s v="2020-03-05"/>
    <x v="1"/>
    <s v="Active"/>
    <n v="92"/>
    <n v="4.5999999999999996"/>
  </r>
  <r>
    <s v="EMP023"/>
    <x v="22"/>
    <x v="1"/>
    <x v="1"/>
    <x v="3"/>
    <n v="39000"/>
    <s v="2023-08-01"/>
    <x v="0"/>
    <s v="Active"/>
    <n v="73"/>
    <n v="4"/>
  </r>
  <r>
    <s v="EMP024"/>
    <x v="23"/>
    <x v="2"/>
    <x v="0"/>
    <x v="1"/>
    <n v="80000"/>
    <s v="2018-07-18"/>
    <x v="1"/>
    <s v="Active"/>
    <n v="85"/>
    <n v="4.3"/>
  </r>
  <r>
    <s v="EMP025"/>
    <x v="24"/>
    <x v="4"/>
    <x v="3"/>
    <x v="2"/>
    <n v="95000"/>
    <s v="2016-10-01"/>
    <x v="0"/>
    <s v="Active"/>
    <n v="96"/>
    <n v="4.9000000000000004"/>
  </r>
  <r>
    <m/>
    <x v="25"/>
    <x v="5"/>
    <x v="4"/>
    <x v="6"/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BE931-A07F-42D5-9A1C-0DA9605AE1C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22:I28" firstHeaderRow="1" firstDataRow="1" firstDataCol="1"/>
  <pivotFields count="11">
    <pivotField showAll="0"/>
    <pivotField showAll="0"/>
    <pivotField axis="axisRow" showAll="0">
      <items count="7">
        <item x="0"/>
        <item x="4"/>
        <item x="1"/>
        <item x="3"/>
        <item x="2"/>
        <item h="1"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g of Salary " fld="5" subtotal="average" baseField="2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C1750-2EBF-4592-8F26-2E7059435AD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H31:I34" firstHeaderRow="1" firstDataRow="1" firstDataCol="1"/>
  <pivotFields count="11">
    <pivotField showAll="0"/>
    <pivotField showAll="0">
      <items count="27">
        <item x="10"/>
        <item x="7"/>
        <item x="0"/>
        <item x="22"/>
        <item x="19"/>
        <item x="5"/>
        <item x="13"/>
        <item x="14"/>
        <item x="17"/>
        <item x="6"/>
        <item x="23"/>
        <item x="18"/>
        <item x="9"/>
        <item x="11"/>
        <item x="1"/>
        <item x="4"/>
        <item x="16"/>
        <item x="21"/>
        <item x="20"/>
        <item x="3"/>
        <item x="15"/>
        <item x="8"/>
        <item x="12"/>
        <item x="24"/>
        <item x="2"/>
        <item h="1" x="25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Gender" fld="7" subtotal="count" baseField="0" baseItem="0"/>
  </dataFields>
  <chartFormats count="13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19183-EBEE-4CF1-8090-A032F761696C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Dept" colHeaderCaption="">
  <location ref="B11:G18" firstHeaderRow="1" firstDataRow="2" firstDataCol="1"/>
  <pivotFields count="11">
    <pivotField showAll="0"/>
    <pivotField showAll="0"/>
    <pivotField axis="axisRow" dataField="1" showAll="0">
      <items count="7">
        <item x="0"/>
        <item x="4"/>
        <item x="1"/>
        <item x="3"/>
        <item x="2"/>
        <item h="1" x="5"/>
        <item t="default"/>
      </items>
    </pivotField>
    <pivotField axis="axisCol" showAll="0">
      <items count="6">
        <item x="1"/>
        <item x="3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Headcount by " fld="2" subtotal="count" baseField="0" baseItem="0"/>
  </dataFields>
  <formats count="1"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86E00-D4B2-494A-A84E-8D8C1873484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2:K19" firstHeaderRow="0" firstDataRow="1" firstDataCol="1"/>
  <pivotFields count="11">
    <pivotField dataField="1" showAll="0"/>
    <pivotField showAll="0"/>
    <pivotField showAll="0"/>
    <pivotField showAll="0"/>
    <pivotField axis="axisRow" showAll="0">
      <items count="8">
        <item x="3"/>
        <item x="1"/>
        <item x="2"/>
        <item x="4"/>
        <item x="0"/>
        <item x="5"/>
        <item h="1" x="6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 (₹)" fld="5" subtotal="average" baseField="4" baseItem="0"/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8B44-BDDA-4F4A-9705-ADC54AE7654E}">
  <dimension ref="A1:K26"/>
  <sheetViews>
    <sheetView showGridLines="0" workbookViewId="0">
      <selection activeCell="F25" sqref="F25"/>
    </sheetView>
  </sheetViews>
  <sheetFormatPr defaultRowHeight="15" x14ac:dyDescent="0.25"/>
  <cols>
    <col min="1" max="1" width="10" customWidth="1"/>
    <col min="2" max="2" width="18" customWidth="1"/>
    <col min="3" max="3" width="14" customWidth="1"/>
    <col min="4" max="4" width="10" customWidth="1"/>
    <col min="5" max="5" width="12" customWidth="1"/>
    <col min="6" max="7" width="14" customWidth="1"/>
    <col min="8" max="9" width="8" customWidth="1"/>
    <col min="10" max="10" width="14" customWidth="1"/>
    <col min="11" max="11" width="8" customWidth="1"/>
  </cols>
  <sheetData>
    <row r="1" spans="1:11" ht="24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v>85000</v>
      </c>
      <c r="G2" s="3" t="s">
        <v>16</v>
      </c>
      <c r="H2" s="3" t="s">
        <v>17</v>
      </c>
      <c r="I2" s="3" t="s">
        <v>18</v>
      </c>
      <c r="J2" s="3">
        <v>88</v>
      </c>
      <c r="K2" s="3">
        <v>4.2</v>
      </c>
    </row>
    <row r="3" spans="1:1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6">
        <v>42000</v>
      </c>
      <c r="G3" s="5" t="s">
        <v>24</v>
      </c>
      <c r="H3" s="5" t="s">
        <v>25</v>
      </c>
      <c r="I3" s="5" t="s">
        <v>18</v>
      </c>
      <c r="J3" s="5">
        <v>92</v>
      </c>
      <c r="K3" s="5">
        <v>4.5999999999999996</v>
      </c>
    </row>
    <row r="4" spans="1:11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4">
        <v>62000</v>
      </c>
      <c r="G4" s="3" t="s">
        <v>31</v>
      </c>
      <c r="H4" s="3" t="s">
        <v>17</v>
      </c>
      <c r="I4" s="3" t="s">
        <v>18</v>
      </c>
      <c r="J4" s="3">
        <v>78</v>
      </c>
      <c r="K4" s="3">
        <v>3.8</v>
      </c>
    </row>
    <row r="5" spans="1:11" x14ac:dyDescent="0.25">
      <c r="A5" s="5" t="s">
        <v>32</v>
      </c>
      <c r="B5" s="5" t="s">
        <v>33</v>
      </c>
      <c r="C5" s="5" t="s">
        <v>13</v>
      </c>
      <c r="D5" s="5" t="s">
        <v>14</v>
      </c>
      <c r="E5" s="5" t="s">
        <v>34</v>
      </c>
      <c r="F5" s="6">
        <v>92000</v>
      </c>
      <c r="G5" s="5" t="s">
        <v>35</v>
      </c>
      <c r="H5" s="5" t="s">
        <v>25</v>
      </c>
      <c r="I5" s="5" t="s">
        <v>18</v>
      </c>
      <c r="J5" s="5">
        <v>95</v>
      </c>
      <c r="K5" s="5">
        <v>4.8</v>
      </c>
    </row>
    <row r="6" spans="1:11" x14ac:dyDescent="0.25">
      <c r="A6" s="3" t="s">
        <v>36</v>
      </c>
      <c r="B6" s="3" t="s">
        <v>37</v>
      </c>
      <c r="C6" s="3" t="s">
        <v>38</v>
      </c>
      <c r="D6" s="3" t="s">
        <v>29</v>
      </c>
      <c r="E6" s="3" t="s">
        <v>15</v>
      </c>
      <c r="F6" s="4">
        <v>55000</v>
      </c>
      <c r="G6" s="3" t="s">
        <v>39</v>
      </c>
      <c r="H6" s="3" t="s">
        <v>17</v>
      </c>
      <c r="I6" s="3" t="s">
        <v>18</v>
      </c>
      <c r="J6" s="3">
        <v>82</v>
      </c>
      <c r="K6" s="3">
        <v>4.0999999999999996</v>
      </c>
    </row>
    <row r="7" spans="1:11" x14ac:dyDescent="0.25">
      <c r="A7" s="5" t="s">
        <v>40</v>
      </c>
      <c r="B7" s="5" t="s">
        <v>41</v>
      </c>
      <c r="C7" s="5" t="s">
        <v>42</v>
      </c>
      <c r="D7" s="5" t="s">
        <v>14</v>
      </c>
      <c r="E7" s="5" t="s">
        <v>43</v>
      </c>
      <c r="F7" s="6">
        <v>78000</v>
      </c>
      <c r="G7" s="5" t="s">
        <v>44</v>
      </c>
      <c r="H7" s="5" t="s">
        <v>25</v>
      </c>
      <c r="I7" s="5" t="s">
        <v>18</v>
      </c>
      <c r="J7" s="5">
        <v>90</v>
      </c>
      <c r="K7" s="5">
        <v>4.5</v>
      </c>
    </row>
    <row r="8" spans="1:11" x14ac:dyDescent="0.25">
      <c r="A8" s="3" t="s">
        <v>45</v>
      </c>
      <c r="B8" s="3" t="s">
        <v>46</v>
      </c>
      <c r="C8" s="3" t="s">
        <v>28</v>
      </c>
      <c r="D8" s="3" t="s">
        <v>22</v>
      </c>
      <c r="E8" s="3" t="s">
        <v>47</v>
      </c>
      <c r="F8" s="4">
        <v>38000</v>
      </c>
      <c r="G8" s="3" t="s">
        <v>48</v>
      </c>
      <c r="H8" s="3" t="s">
        <v>17</v>
      </c>
      <c r="I8" s="3" t="s">
        <v>18</v>
      </c>
      <c r="J8" s="3">
        <v>71</v>
      </c>
      <c r="K8" s="3">
        <v>3.9</v>
      </c>
    </row>
    <row r="9" spans="1:11" x14ac:dyDescent="0.25">
      <c r="A9" s="5" t="s">
        <v>49</v>
      </c>
      <c r="B9" s="5" t="s">
        <v>50</v>
      </c>
      <c r="C9" s="5" t="s">
        <v>13</v>
      </c>
      <c r="D9" s="5" t="s">
        <v>51</v>
      </c>
      <c r="E9" s="5" t="s">
        <v>34</v>
      </c>
      <c r="F9" s="6">
        <v>105000</v>
      </c>
      <c r="G9" s="5" t="s">
        <v>52</v>
      </c>
      <c r="H9" s="5" t="s">
        <v>25</v>
      </c>
      <c r="I9" s="5" t="s">
        <v>18</v>
      </c>
      <c r="J9" s="5">
        <v>97</v>
      </c>
      <c r="K9" s="5">
        <v>4.9000000000000004</v>
      </c>
    </row>
    <row r="10" spans="1:11" x14ac:dyDescent="0.25">
      <c r="A10" s="3" t="s">
        <v>53</v>
      </c>
      <c r="B10" s="3" t="s">
        <v>54</v>
      </c>
      <c r="C10" s="3" t="s">
        <v>21</v>
      </c>
      <c r="D10" s="3" t="s">
        <v>29</v>
      </c>
      <c r="E10" s="3" t="s">
        <v>23</v>
      </c>
      <c r="F10" s="4">
        <v>52000</v>
      </c>
      <c r="G10" s="3" t="s">
        <v>55</v>
      </c>
      <c r="H10" s="3" t="s">
        <v>17</v>
      </c>
      <c r="I10" s="3" t="s">
        <v>18</v>
      </c>
      <c r="J10" s="3">
        <v>85</v>
      </c>
      <c r="K10" s="3">
        <v>4.3</v>
      </c>
    </row>
    <row r="11" spans="1:11" x14ac:dyDescent="0.25">
      <c r="A11" s="5" t="s">
        <v>56</v>
      </c>
      <c r="B11" s="5" t="s">
        <v>57</v>
      </c>
      <c r="C11" s="5" t="s">
        <v>42</v>
      </c>
      <c r="D11" s="5" t="s">
        <v>22</v>
      </c>
      <c r="E11" s="5" t="s">
        <v>15</v>
      </c>
      <c r="F11" s="6">
        <v>44000</v>
      </c>
      <c r="G11" s="5" t="s">
        <v>58</v>
      </c>
      <c r="H11" s="5" t="s">
        <v>25</v>
      </c>
      <c r="I11" s="5" t="s">
        <v>18</v>
      </c>
      <c r="J11" s="5">
        <v>88</v>
      </c>
      <c r="K11" s="5">
        <v>4.4000000000000004</v>
      </c>
    </row>
    <row r="12" spans="1:11" x14ac:dyDescent="0.25">
      <c r="A12" s="3" t="s">
        <v>59</v>
      </c>
      <c r="B12" s="3" t="s">
        <v>60</v>
      </c>
      <c r="C12" s="3" t="s">
        <v>13</v>
      </c>
      <c r="D12" s="3" t="s">
        <v>29</v>
      </c>
      <c r="E12" s="3" t="s">
        <v>30</v>
      </c>
      <c r="F12" s="4">
        <v>72000</v>
      </c>
      <c r="G12" s="3" t="s">
        <v>61</v>
      </c>
      <c r="H12" s="3" t="s">
        <v>17</v>
      </c>
      <c r="I12" s="3" t="s">
        <v>18</v>
      </c>
      <c r="J12" s="3">
        <v>80</v>
      </c>
      <c r="K12" s="3">
        <v>4</v>
      </c>
    </row>
    <row r="13" spans="1:11" x14ac:dyDescent="0.25">
      <c r="A13" s="5" t="s">
        <v>62</v>
      </c>
      <c r="B13" s="5" t="s">
        <v>63</v>
      </c>
      <c r="C13" s="5" t="s">
        <v>38</v>
      </c>
      <c r="D13" s="5" t="s">
        <v>14</v>
      </c>
      <c r="E13" s="5" t="s">
        <v>47</v>
      </c>
      <c r="F13" s="6">
        <v>68000</v>
      </c>
      <c r="G13" s="5" t="s">
        <v>64</v>
      </c>
      <c r="H13" s="5" t="s">
        <v>25</v>
      </c>
      <c r="I13" s="5" t="s">
        <v>18</v>
      </c>
      <c r="J13" s="5">
        <v>93</v>
      </c>
      <c r="K13" s="5">
        <v>4.7</v>
      </c>
    </row>
    <row r="14" spans="1:11" x14ac:dyDescent="0.25">
      <c r="A14" s="3" t="s">
        <v>65</v>
      </c>
      <c r="B14" s="3" t="s">
        <v>66</v>
      </c>
      <c r="C14" s="3" t="s">
        <v>28</v>
      </c>
      <c r="D14" s="3" t="s">
        <v>14</v>
      </c>
      <c r="E14" s="3" t="s">
        <v>15</v>
      </c>
      <c r="F14" s="4">
        <v>75000</v>
      </c>
      <c r="G14" s="3" t="s">
        <v>67</v>
      </c>
      <c r="H14" s="3" t="s">
        <v>17</v>
      </c>
      <c r="I14" s="3" t="s">
        <v>18</v>
      </c>
      <c r="J14" s="3">
        <v>76</v>
      </c>
      <c r="K14" s="3">
        <v>3.7</v>
      </c>
    </row>
    <row r="15" spans="1:11" x14ac:dyDescent="0.25">
      <c r="A15" s="5" t="s">
        <v>68</v>
      </c>
      <c r="B15" s="5" t="s">
        <v>69</v>
      </c>
      <c r="C15" s="5" t="s">
        <v>13</v>
      </c>
      <c r="D15" s="5" t="s">
        <v>22</v>
      </c>
      <c r="E15" s="5" t="s">
        <v>34</v>
      </c>
      <c r="F15" s="6">
        <v>48000</v>
      </c>
      <c r="H15" s="5" t="s">
        <v>25</v>
      </c>
      <c r="I15" s="5" t="s">
        <v>18</v>
      </c>
      <c r="J15" s="5">
        <v>91</v>
      </c>
      <c r="K15" s="5">
        <v>4.5</v>
      </c>
    </row>
    <row r="16" spans="1:11" x14ac:dyDescent="0.25">
      <c r="A16" s="3" t="s">
        <v>70</v>
      </c>
      <c r="B16" s="3" t="s">
        <v>71</v>
      </c>
      <c r="C16" s="3" t="s">
        <v>42</v>
      </c>
      <c r="D16" s="3" t="s">
        <v>29</v>
      </c>
      <c r="E16" s="3" t="s">
        <v>43</v>
      </c>
      <c r="F16" s="4">
        <v>65000</v>
      </c>
      <c r="G16" s="3" t="s">
        <v>72</v>
      </c>
      <c r="H16" s="3" t="s">
        <v>17</v>
      </c>
      <c r="I16" s="3" t="s">
        <v>18</v>
      </c>
      <c r="J16" s="3">
        <v>87</v>
      </c>
      <c r="K16" s="3">
        <v>4.2</v>
      </c>
    </row>
    <row r="17" spans="1:11" x14ac:dyDescent="0.25">
      <c r="A17" s="5" t="s">
        <v>73</v>
      </c>
      <c r="B17" s="5" t="s">
        <v>74</v>
      </c>
      <c r="C17" s="5" t="s">
        <v>21</v>
      </c>
      <c r="D17" s="5" t="s">
        <v>14</v>
      </c>
      <c r="E17" s="5" t="s">
        <v>30</v>
      </c>
      <c r="F17" s="6">
        <v>72000</v>
      </c>
      <c r="G17" s="5" t="s">
        <v>75</v>
      </c>
      <c r="H17" s="5" t="s">
        <v>25</v>
      </c>
      <c r="I17" s="5" t="s">
        <v>18</v>
      </c>
      <c r="J17" s="5">
        <v>94</v>
      </c>
      <c r="K17" s="5">
        <v>4.8</v>
      </c>
    </row>
    <row r="18" spans="1:11" x14ac:dyDescent="0.25">
      <c r="A18" s="3" t="s">
        <v>76</v>
      </c>
      <c r="B18" s="3" t="s">
        <v>77</v>
      </c>
      <c r="C18" s="3" t="s">
        <v>38</v>
      </c>
      <c r="D18" s="3" t="s">
        <v>22</v>
      </c>
      <c r="E18" s="3" t="s">
        <v>15</v>
      </c>
      <c r="F18" s="4">
        <v>40000</v>
      </c>
      <c r="G18" s="3" t="s">
        <v>78</v>
      </c>
      <c r="H18" s="3" t="s">
        <v>17</v>
      </c>
      <c r="I18" s="3" t="s">
        <v>18</v>
      </c>
      <c r="J18" s="3">
        <v>69</v>
      </c>
      <c r="K18" s="3">
        <v>3.6</v>
      </c>
    </row>
    <row r="19" spans="1:11" x14ac:dyDescent="0.25">
      <c r="A19" s="5" t="s">
        <v>79</v>
      </c>
      <c r="B19" s="5" t="s">
        <v>80</v>
      </c>
      <c r="C19" s="5" t="s">
        <v>28</v>
      </c>
      <c r="D19" s="5" t="s">
        <v>29</v>
      </c>
      <c r="E19" s="5" t="s">
        <v>23</v>
      </c>
      <c r="F19" s="6">
        <v>58000</v>
      </c>
      <c r="G19" s="5" t="s">
        <v>81</v>
      </c>
      <c r="H19" s="5" t="s">
        <v>25</v>
      </c>
      <c r="I19" s="5" t="s">
        <v>18</v>
      </c>
      <c r="J19" s="5">
        <v>83</v>
      </c>
      <c r="K19" s="5">
        <v>4.0999999999999996</v>
      </c>
    </row>
    <row r="20" spans="1:11" x14ac:dyDescent="0.25">
      <c r="A20" s="3" t="s">
        <v>82</v>
      </c>
      <c r="B20" s="3" t="s">
        <v>83</v>
      </c>
      <c r="C20" s="3" t="s">
        <v>13</v>
      </c>
      <c r="D20" s="3" t="s">
        <v>14</v>
      </c>
      <c r="E20" s="3" t="s">
        <v>34</v>
      </c>
      <c r="F20" s="4">
        <v>88000</v>
      </c>
      <c r="G20" s="3" t="s">
        <v>84</v>
      </c>
      <c r="H20" s="3" t="s">
        <v>17</v>
      </c>
      <c r="I20" s="3" t="s">
        <v>18</v>
      </c>
      <c r="J20" s="3">
        <v>89</v>
      </c>
      <c r="K20" s="3">
        <v>4.4000000000000004</v>
      </c>
    </row>
    <row r="21" spans="1:11" x14ac:dyDescent="0.25">
      <c r="A21" s="5" t="s">
        <v>85</v>
      </c>
      <c r="B21" s="5" t="s">
        <v>86</v>
      </c>
      <c r="C21" s="5" t="s">
        <v>42</v>
      </c>
      <c r="D21" s="5" t="s">
        <v>22</v>
      </c>
      <c r="E21" s="5" t="s">
        <v>47</v>
      </c>
      <c r="F21" s="6">
        <v>41000</v>
      </c>
      <c r="G21" s="5" t="s">
        <v>87</v>
      </c>
      <c r="H21" s="5" t="s">
        <v>25</v>
      </c>
      <c r="I21" s="5" t="s">
        <v>18</v>
      </c>
      <c r="J21" s="5">
        <v>86</v>
      </c>
      <c r="K21" s="5">
        <v>4.3</v>
      </c>
    </row>
    <row r="22" spans="1:11" x14ac:dyDescent="0.25">
      <c r="A22" s="3" t="s">
        <v>88</v>
      </c>
      <c r="B22" s="3" t="s">
        <v>89</v>
      </c>
      <c r="C22" s="3" t="s">
        <v>38</v>
      </c>
      <c r="D22" s="3" t="s">
        <v>29</v>
      </c>
      <c r="E22" s="3" t="s">
        <v>30</v>
      </c>
      <c r="F22" s="4">
        <v>57000</v>
      </c>
      <c r="G22" s="3" t="s">
        <v>90</v>
      </c>
      <c r="H22" s="3" t="s">
        <v>17</v>
      </c>
      <c r="I22" s="3" t="s">
        <v>18</v>
      </c>
      <c r="J22" s="3">
        <v>79</v>
      </c>
      <c r="K22" s="3">
        <v>3.9</v>
      </c>
    </row>
    <row r="23" spans="1:11" x14ac:dyDescent="0.25">
      <c r="A23" s="5" t="s">
        <v>91</v>
      </c>
      <c r="B23" s="5" t="s">
        <v>92</v>
      </c>
      <c r="C23" s="5" t="s">
        <v>13</v>
      </c>
      <c r="D23" s="5" t="s">
        <v>29</v>
      </c>
      <c r="E23" s="5" t="s">
        <v>15</v>
      </c>
      <c r="F23" s="6">
        <v>70000</v>
      </c>
      <c r="G23" s="5" t="s">
        <v>93</v>
      </c>
      <c r="H23" s="5" t="s">
        <v>25</v>
      </c>
      <c r="I23" s="5" t="s">
        <v>18</v>
      </c>
      <c r="J23" s="5">
        <v>92</v>
      </c>
      <c r="K23" s="5">
        <v>4.5999999999999996</v>
      </c>
    </row>
    <row r="24" spans="1:11" x14ac:dyDescent="0.25">
      <c r="A24" s="3" t="s">
        <v>94</v>
      </c>
      <c r="B24" s="3" t="s">
        <v>95</v>
      </c>
      <c r="C24" s="3" t="s">
        <v>21</v>
      </c>
      <c r="D24" s="3" t="s">
        <v>22</v>
      </c>
      <c r="E24" s="3" t="s">
        <v>34</v>
      </c>
      <c r="F24" s="4">
        <v>39000</v>
      </c>
      <c r="G24" s="3" t="s">
        <v>96</v>
      </c>
      <c r="H24" s="3" t="s">
        <v>17</v>
      </c>
      <c r="I24" s="3" t="s">
        <v>18</v>
      </c>
      <c r="J24" s="3">
        <v>73</v>
      </c>
      <c r="K24" s="3">
        <v>4</v>
      </c>
    </row>
    <row r="25" spans="1:11" x14ac:dyDescent="0.25">
      <c r="A25" s="5" t="s">
        <v>97</v>
      </c>
      <c r="B25" s="5" t="s">
        <v>98</v>
      </c>
      <c r="C25" s="5" t="s">
        <v>28</v>
      </c>
      <c r="D25" s="5" t="s">
        <v>14</v>
      </c>
      <c r="E25" s="5" t="s">
        <v>23</v>
      </c>
      <c r="F25" s="5" t="s">
        <v>99</v>
      </c>
      <c r="G25" s="5" t="s">
        <v>100</v>
      </c>
      <c r="H25" s="5" t="s">
        <v>25</v>
      </c>
      <c r="I25" s="5" t="s">
        <v>18</v>
      </c>
      <c r="J25" s="5">
        <v>85</v>
      </c>
      <c r="K25" s="5">
        <v>4.3</v>
      </c>
    </row>
    <row r="26" spans="1:11" x14ac:dyDescent="0.25">
      <c r="A26" s="3" t="s">
        <v>101</v>
      </c>
      <c r="B26" s="3" t="s">
        <v>102</v>
      </c>
      <c r="C26" s="3" t="s">
        <v>42</v>
      </c>
      <c r="D26" s="3" t="s">
        <v>51</v>
      </c>
      <c r="E26" s="3" t="s">
        <v>30</v>
      </c>
      <c r="F26" s="4">
        <v>95000</v>
      </c>
      <c r="G26" s="3" t="s">
        <v>103</v>
      </c>
      <c r="H26" s="3" t="s">
        <v>17</v>
      </c>
      <c r="I26" s="3" t="s">
        <v>18</v>
      </c>
      <c r="J26" s="3">
        <v>96</v>
      </c>
      <c r="K26" s="3">
        <v>4.9000000000000004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B728-A507-4EE9-90E7-B69555AE0B5D}">
  <dimension ref="B1:P34"/>
  <sheetViews>
    <sheetView showGridLines="0" tabSelected="1" zoomScale="79" workbookViewId="0">
      <selection activeCell="N30" sqref="N30"/>
    </sheetView>
  </sheetViews>
  <sheetFormatPr defaultRowHeight="15" x14ac:dyDescent="0.25"/>
  <cols>
    <col min="1" max="1" width="13.5703125" bestFit="1" customWidth="1"/>
    <col min="2" max="2" width="19.5703125" bestFit="1" customWidth="1"/>
    <col min="3" max="3" width="11.85546875" customWidth="1"/>
    <col min="7" max="7" width="15.28515625" customWidth="1"/>
    <col min="8" max="8" width="18.42578125" bestFit="1" customWidth="1"/>
    <col min="9" max="9" width="13.140625" bestFit="1" customWidth="1"/>
    <col min="10" max="10" width="19.5703125" bestFit="1" customWidth="1"/>
    <col min="11" max="11" width="14.28515625" bestFit="1" customWidth="1"/>
    <col min="12" max="12" width="16.140625" bestFit="1" customWidth="1"/>
    <col min="13" max="15" width="11.28515625" bestFit="1" customWidth="1"/>
    <col min="16" max="16" width="16.140625" customWidth="1"/>
    <col min="17" max="31" width="9.5703125" bestFit="1" customWidth="1"/>
    <col min="32" max="32" width="11.140625" bestFit="1" customWidth="1"/>
    <col min="33" max="33" width="11.28515625" bestFit="1" customWidth="1"/>
  </cols>
  <sheetData>
    <row r="1" spans="2:16" ht="35.1" customHeight="1" x14ac:dyDescent="0.25">
      <c r="B1" s="7" t="s">
        <v>104</v>
      </c>
      <c r="C1" s="8"/>
      <c r="D1" s="8"/>
      <c r="E1" s="8"/>
      <c r="F1" s="8"/>
      <c r="G1" s="8"/>
      <c r="H1" s="8"/>
    </row>
    <row r="3" spans="2:16" x14ac:dyDescent="0.25">
      <c r="B3" s="9" t="s">
        <v>105</v>
      </c>
      <c r="P3" s="10"/>
    </row>
    <row r="10" spans="2:16" x14ac:dyDescent="0.25">
      <c r="B10" s="9" t="s">
        <v>106</v>
      </c>
      <c r="F10" s="9" t="s">
        <v>107</v>
      </c>
    </row>
    <row r="11" spans="2:16" x14ac:dyDescent="0.25">
      <c r="B11" t="s">
        <v>108</v>
      </c>
      <c r="C11" t="s">
        <v>109</v>
      </c>
      <c r="D11" s="11"/>
      <c r="E11" s="11"/>
      <c r="F11" s="11"/>
      <c r="G11" s="11"/>
    </row>
    <row r="12" spans="2:16" x14ac:dyDescent="0.25">
      <c r="B12" t="s">
        <v>2</v>
      </c>
      <c r="C12" t="s">
        <v>22</v>
      </c>
      <c r="D12" t="s">
        <v>51</v>
      </c>
      <c r="E12" t="s">
        <v>29</v>
      </c>
      <c r="F12" t="s">
        <v>14</v>
      </c>
      <c r="G12" t="s">
        <v>110</v>
      </c>
      <c r="I12" t="s">
        <v>111</v>
      </c>
      <c r="J12" t="s">
        <v>112</v>
      </c>
      <c r="K12" t="s">
        <v>113</v>
      </c>
    </row>
    <row r="13" spans="2:16" x14ac:dyDescent="0.25">
      <c r="B13" s="12" t="s">
        <v>13</v>
      </c>
      <c r="C13">
        <v>1</v>
      </c>
      <c r="D13">
        <v>1</v>
      </c>
      <c r="E13">
        <v>2</v>
      </c>
      <c r="F13">
        <v>3</v>
      </c>
      <c r="G13">
        <v>7</v>
      </c>
      <c r="I13" s="12" t="s">
        <v>34</v>
      </c>
      <c r="J13">
        <v>74400</v>
      </c>
      <c r="K13">
        <v>5</v>
      </c>
    </row>
    <row r="14" spans="2:16" x14ac:dyDescent="0.25">
      <c r="B14" s="12" t="s">
        <v>42</v>
      </c>
      <c r="C14">
        <v>2</v>
      </c>
      <c r="D14">
        <v>1</v>
      </c>
      <c r="E14">
        <v>1</v>
      </c>
      <c r="F14">
        <v>1</v>
      </c>
      <c r="G14">
        <v>5</v>
      </c>
      <c r="I14" s="12" t="s">
        <v>23</v>
      </c>
      <c r="J14">
        <v>58000</v>
      </c>
      <c r="K14">
        <v>4</v>
      </c>
    </row>
    <row r="15" spans="2:16" x14ac:dyDescent="0.25">
      <c r="B15" s="12" t="s">
        <v>21</v>
      </c>
      <c r="C15">
        <v>2</v>
      </c>
      <c r="E15">
        <v>1</v>
      </c>
      <c r="F15">
        <v>1</v>
      </c>
      <c r="G15">
        <v>4</v>
      </c>
      <c r="I15" s="12" t="s">
        <v>30</v>
      </c>
      <c r="J15">
        <v>71600</v>
      </c>
      <c r="K15">
        <v>5</v>
      </c>
    </row>
    <row r="16" spans="2:16" x14ac:dyDescent="0.25">
      <c r="B16" s="12" t="s">
        <v>38</v>
      </c>
      <c r="C16">
        <v>1</v>
      </c>
      <c r="E16">
        <v>2</v>
      </c>
      <c r="F16">
        <v>1</v>
      </c>
      <c r="G16">
        <v>4</v>
      </c>
      <c r="I16" s="12" t="s">
        <v>43</v>
      </c>
      <c r="J16">
        <v>71500</v>
      </c>
      <c r="K16">
        <v>2</v>
      </c>
    </row>
    <row r="17" spans="2:14" x14ac:dyDescent="0.25">
      <c r="B17" s="12" t="s">
        <v>28</v>
      </c>
      <c r="C17">
        <v>1</v>
      </c>
      <c r="E17">
        <v>2</v>
      </c>
      <c r="F17">
        <v>2</v>
      </c>
      <c r="G17">
        <v>5</v>
      </c>
      <c r="I17" s="12" t="s">
        <v>15</v>
      </c>
      <c r="J17">
        <v>61500</v>
      </c>
      <c r="K17">
        <v>6</v>
      </c>
    </row>
    <row r="18" spans="2:14" x14ac:dyDescent="0.25">
      <c r="B18" s="12" t="s">
        <v>110</v>
      </c>
      <c r="C18">
        <v>7</v>
      </c>
      <c r="D18">
        <v>2</v>
      </c>
      <c r="E18">
        <v>8</v>
      </c>
      <c r="F18">
        <v>8</v>
      </c>
      <c r="G18">
        <v>25</v>
      </c>
      <c r="I18" s="12" t="s">
        <v>47</v>
      </c>
      <c r="J18">
        <v>49000</v>
      </c>
      <c r="K18">
        <v>3</v>
      </c>
    </row>
    <row r="19" spans="2:14" x14ac:dyDescent="0.25">
      <c r="I19" s="12" t="s">
        <v>110</v>
      </c>
      <c r="J19">
        <v>64840</v>
      </c>
      <c r="K19">
        <v>25</v>
      </c>
    </row>
    <row r="22" spans="2:14" x14ac:dyDescent="0.25">
      <c r="F22" s="9" t="s">
        <v>114</v>
      </c>
      <c r="H22" t="s">
        <v>111</v>
      </c>
      <c r="I22" t="s">
        <v>115</v>
      </c>
    </row>
    <row r="23" spans="2:14" x14ac:dyDescent="0.25">
      <c r="H23" s="12" t="s">
        <v>13</v>
      </c>
      <c r="I23">
        <v>80000</v>
      </c>
    </row>
    <row r="24" spans="2:14" x14ac:dyDescent="0.25">
      <c r="H24" s="12" t="s">
        <v>42</v>
      </c>
      <c r="I24">
        <v>64600</v>
      </c>
    </row>
    <row r="25" spans="2:14" x14ac:dyDescent="0.25">
      <c r="H25" s="12" t="s">
        <v>21</v>
      </c>
      <c r="I25">
        <v>51250</v>
      </c>
    </row>
    <row r="26" spans="2:14" x14ac:dyDescent="0.25">
      <c r="H26" s="12" t="s">
        <v>38</v>
      </c>
      <c r="I26">
        <v>55000</v>
      </c>
    </row>
    <row r="27" spans="2:14" x14ac:dyDescent="0.25">
      <c r="H27" s="12" t="s">
        <v>28</v>
      </c>
      <c r="I27">
        <v>62600</v>
      </c>
    </row>
    <row r="28" spans="2:14" x14ac:dyDescent="0.25">
      <c r="H28" s="12" t="s">
        <v>110</v>
      </c>
      <c r="I28">
        <v>64840</v>
      </c>
    </row>
    <row r="30" spans="2:14" x14ac:dyDescent="0.25">
      <c r="N30" t="s">
        <v>116</v>
      </c>
    </row>
    <row r="31" spans="2:14" x14ac:dyDescent="0.25">
      <c r="H31" t="s">
        <v>111</v>
      </c>
      <c r="I31" t="s">
        <v>117</v>
      </c>
    </row>
    <row r="32" spans="2:14" x14ac:dyDescent="0.25">
      <c r="H32" s="12" t="s">
        <v>25</v>
      </c>
      <c r="I32">
        <v>12</v>
      </c>
    </row>
    <row r="33" spans="8:9" x14ac:dyDescent="0.25">
      <c r="H33" s="12" t="s">
        <v>17</v>
      </c>
      <c r="I33">
        <v>13</v>
      </c>
    </row>
    <row r="34" spans="8:9" x14ac:dyDescent="0.25">
      <c r="H34" s="12" t="s">
        <v>110</v>
      </c>
      <c r="I34">
        <v>25</v>
      </c>
    </row>
  </sheetData>
  <mergeCells count="1">
    <mergeCell ref="B1:H1"/>
  </mergeCells>
  <pageMargins left="0.75" right="0.75" top="1" bottom="1" header="0.5" footer="0.5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Beerus 7</dc:creator>
  <cp:lastModifiedBy>Beerus 7</cp:lastModifiedBy>
  <dcterms:created xsi:type="dcterms:W3CDTF">2026-10-01T10:54:31Z</dcterms:created>
  <dcterms:modified xsi:type="dcterms:W3CDTF">2026-10-01T10:56:00Z</dcterms:modified>
</cp:coreProperties>
</file>